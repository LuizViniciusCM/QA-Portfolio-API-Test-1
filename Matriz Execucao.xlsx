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0DAF50FC-745D-4A23-A4D2-EBB36D2818D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xecução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</calcChain>
</file>

<file path=xl/sharedStrings.xml><?xml version="1.0" encoding="utf-8"?>
<sst xmlns="http://schemas.openxmlformats.org/spreadsheetml/2006/main" count="305" uniqueCount="101">
  <si>
    <t>ID</t>
  </si>
  <si>
    <t>Caso de Teste</t>
  </si>
  <si>
    <t>Funcionalidade</t>
  </si>
  <si>
    <t>Prioridade</t>
  </si>
  <si>
    <t>Ciclo</t>
  </si>
  <si>
    <t>Status</t>
  </si>
  <si>
    <t>Data Execução</t>
  </si>
  <si>
    <t>Executado por</t>
  </si>
  <si>
    <t>Evidência</t>
  </si>
  <si>
    <t>Observações</t>
  </si>
  <si>
    <t>CT-01</t>
  </si>
  <si>
    <t>Login com credenciais válidas</t>
  </si>
  <si>
    <t>Login</t>
  </si>
  <si>
    <t>Alta</t>
  </si>
  <si>
    <t>Ciclo 1</t>
  </si>
  <si>
    <t>Passou</t>
  </si>
  <si>
    <t>Luiz Maciel</t>
  </si>
  <si>
    <t>Tudo conforme esperado</t>
  </si>
  <si>
    <t>CT-02</t>
  </si>
  <si>
    <t>Login com senha incorreta</t>
  </si>
  <si>
    <t>CT-03</t>
  </si>
  <si>
    <t>Login com e-mail inexistente</t>
  </si>
  <si>
    <t>CT-04</t>
  </si>
  <si>
    <t>Login com campos obrigatórios vazios</t>
  </si>
  <si>
    <t>Média</t>
  </si>
  <si>
    <t>CT-05</t>
  </si>
  <si>
    <t>Cadastro de novo usuário</t>
  </si>
  <si>
    <t>Cadastro de usuários</t>
  </si>
  <si>
    <t>CT-06</t>
  </si>
  <si>
    <t>Cadastro com e-mail já existente</t>
  </si>
  <si>
    <t>CT-07</t>
  </si>
  <si>
    <t>Cadastro com campos obrigatórios vazios</t>
  </si>
  <si>
    <t>CT-08</t>
  </si>
  <si>
    <t>Cadastro com campo "administrador" em tipo incorreto</t>
  </si>
  <si>
    <t>CT-09</t>
  </si>
  <si>
    <t>Listagem de usuários</t>
  </si>
  <si>
    <t>Consulta de usuários</t>
  </si>
  <si>
    <t>CT-10</t>
  </si>
  <si>
    <t>Listagem de usuários com filtro por query string</t>
  </si>
  <si>
    <t>CT-11</t>
  </si>
  <si>
    <t>Consulta de usuário por ID existente</t>
  </si>
  <si>
    <t>Baixa</t>
  </si>
  <si>
    <t>CT-12</t>
  </si>
  <si>
    <t>Consulta de usuário por ID inexistente</t>
  </si>
  <si>
    <t>CT-13</t>
  </si>
  <si>
    <t>Edição de usuário existente</t>
  </si>
  <si>
    <t>Edição de usuários</t>
  </si>
  <si>
    <t>CT-14</t>
  </si>
  <si>
    <t>Exclusão de usuário sem vínculo com carrinho</t>
  </si>
  <si>
    <t>Exclusão de usuários</t>
  </si>
  <si>
    <t>CT-15</t>
  </si>
  <si>
    <t>Exclusão de usuário vinculado a carrinho ativo</t>
  </si>
  <si>
    <t>CT-16</t>
  </si>
  <si>
    <t>Cadastro de produto com usuário administrador autenticado</t>
  </si>
  <si>
    <t>Cadastro de produtos</t>
  </si>
  <si>
    <t>CT-17</t>
  </si>
  <si>
    <t>Cadastro de produto sem autenticação</t>
  </si>
  <si>
    <t>CT-18</t>
  </si>
  <si>
    <t>Cadastro de produto com usuário não administrador</t>
  </si>
  <si>
    <t>CT-19</t>
  </si>
  <si>
    <t>Listagem de produtos</t>
  </si>
  <si>
    <t>Consulta de produtos</t>
  </si>
  <si>
    <t>CT-20</t>
  </si>
  <si>
    <t>Consulta de produto por ID</t>
  </si>
  <si>
    <t>CT-21</t>
  </si>
  <si>
    <t>Edição de produto com usuário administrador autenticado</t>
  </si>
  <si>
    <t>Edição de produtos</t>
  </si>
  <si>
    <t>CT-22</t>
  </si>
  <si>
    <t>Exclusão de produto vinculado a carrinho</t>
  </si>
  <si>
    <t>Exclusão de produtos</t>
  </si>
  <si>
    <t>CT-23</t>
  </si>
  <si>
    <t>Criação de carrinho vinculado ao usuário autenticado</t>
  </si>
  <si>
    <t>Criação de carrinho</t>
  </si>
  <si>
    <t>CT-24</t>
  </si>
  <si>
    <t>Impedimento de criar novo carrinho havendo carrinho ativo</t>
  </si>
  <si>
    <t>CT-25</t>
  </si>
  <si>
    <t>Validação de estoque insuficiente ao adicionar produto</t>
  </si>
  <si>
    <t>CT-26</t>
  </si>
  <si>
    <t>Consulta de carrinho por ID</t>
  </si>
  <si>
    <t>Consulta de carrinho</t>
  </si>
  <si>
    <t>CT-27</t>
  </si>
  <si>
    <t>Concluir compra do carrinho</t>
  </si>
  <si>
    <t>Finalização de compra</t>
  </si>
  <si>
    <t>CT-28</t>
  </si>
  <si>
    <t>Cancelar compra do carrinho</t>
  </si>
  <si>
    <t>Cancelamento de compra</t>
  </si>
  <si>
    <t>CT-29</t>
  </si>
  <si>
    <t>Acesso a rotas protegidas sem token</t>
  </si>
  <si>
    <t>Autenticação/Autorização</t>
  </si>
  <si>
    <t>CT-30</t>
  </si>
  <si>
    <t>Acesso a rotas protegidas com token inválido/expirado</t>
  </si>
  <si>
    <t>CT-31</t>
  </si>
  <si>
    <t>Listagem de usuários sem autentição</t>
  </si>
  <si>
    <t>Falhou</t>
  </si>
  <si>
    <t>Não autentica administrador, pode ter acesso</t>
  </si>
  <si>
    <t>CT-32</t>
  </si>
  <si>
    <t>Resumo do ciclo:</t>
  </si>
  <si>
    <t>Total de casos</t>
  </si>
  <si>
    <t>Bloqueado</t>
  </si>
  <si>
    <t>Não executado</t>
  </si>
  <si>
    <t>% Executado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</si>
</sst>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F2F4F7"/>
        <bgColor rgb="FFFFFFFF"/>
      </patternFill>
    </fill>
  </fills>
  <borders count="2">
    <border>
      <left/>
      <right/>
      <top/>
      <bottom/>
      <diagonal/>
    </border>
    <border>
      <left style="thin">
        <color rgb="FFB9C0CC"/>
      </left>
      <right style="thin">
        <color rgb="FFB9C0CC"/>
      </right>
      <top style="thin">
        <color rgb="FFB9C0CC"/>
      </top>
      <bottom style="thin">
        <color rgb="FFB9C0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/>
    <xf numFmtId="0" fontId="2" fillId="0" borderId="0" xfId="0" applyFont="1"/>
    <xf numFmtId="9" fontId="2" fillId="0" borderId="0" xfId="0" applyNumberFormat="1" applyFont="1"/>
    <xf numFmtId="14" fontId="2" fillId="0" borderId="1" xfId="0" applyNumberFormat="1" applyFont="1" applyBorder="1" applyAlignment="1">
      <alignment vertical="center"/>
    </xf>
    <xf numFmtId="0" fontId="4" fillId="0" borderId="1" xfId="1" applyBorder="1" applyAlignment="1">
      <alignment vertical="center" wrapText="1"/>
    </xf>
  </cellXfs>
  <cellStyles count="2">
    <cellStyle name="Hyperlink" xfId="1" xr:uid="{00000000-000B-0000-0000-000008000000}"/>
    <cellStyle name="Normal" xfId="0" builtinId="0"/>
  </cellStyles>
  <dxfs count="4">
    <dxf>
      <font>
        <b/>
        <sz val="10"/>
        <color rgb="FFFFFFFF"/>
        <name val="Arial"/>
        <charset val="1"/>
      </font>
      <fill>
        <patternFill>
          <bgColor rgb="FF6B7280"/>
        </patternFill>
      </fill>
    </dxf>
    <dxf>
      <font>
        <b/>
        <sz val="10"/>
        <color rgb="FFFFFFFF"/>
        <name val="Arial"/>
        <charset val="1"/>
      </font>
      <fill>
        <patternFill>
          <bgColor rgb="FFB7791F"/>
        </patternFill>
      </fill>
    </dxf>
    <dxf>
      <font>
        <b/>
        <sz val="10"/>
        <color rgb="FFFFFFFF"/>
        <name val="Arial"/>
        <charset val="1"/>
      </font>
      <fill>
        <patternFill>
          <bgColor rgb="FFC0392B"/>
        </patternFill>
      </fill>
    </dxf>
    <dxf>
      <font>
        <b/>
        <sz val="10"/>
        <color rgb="FFFFFFFF"/>
        <name val="Arial"/>
        <charset val="1"/>
      </font>
      <fill>
        <patternFill>
          <bgColor rgb="FF1E6F4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1E6F46"/>
      <rgbColor rgb="FFB9C0CC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F3B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eU1yOT_Bw6FoIIXggEF0i5yBwkRY26b/view?usp=sharing" TargetMode="External"/><Relationship Id="rId13" Type="http://schemas.openxmlformats.org/officeDocument/2006/relationships/hyperlink" Target="https://drive.google.com/file/d/1p9AVJaRxBkCOY-TsEXwSRcxla6T6keWT/view?usp=sharing" TargetMode="External"/><Relationship Id="rId18" Type="http://schemas.openxmlformats.org/officeDocument/2006/relationships/hyperlink" Target="https://drive.google.com/file/d/1EK1r7HMunLMXd7k2w7zcdTuV-8_sZtBA/view?usp=sharing" TargetMode="External"/><Relationship Id="rId26" Type="http://schemas.openxmlformats.org/officeDocument/2006/relationships/hyperlink" Target="https://drive.google.com/file/d/1gKrAbTmr-2p3H0Ht114g-zmgj87wIQWw/view?usp=sharing" TargetMode="External"/><Relationship Id="rId3" Type="http://schemas.openxmlformats.org/officeDocument/2006/relationships/hyperlink" Target="https://drive.google.com/file/d/1yGY4zZGcpmcjqRN1d2URT3M7qkPxOlKf/view?usp=sharing" TargetMode="External"/><Relationship Id="rId21" Type="http://schemas.openxmlformats.org/officeDocument/2006/relationships/hyperlink" Target="https://drive.google.com/file/d/1VPXRyT62jZltbpbkHyr7oLBavB9uHqTN/view?usp=sharing" TargetMode="External"/><Relationship Id="rId7" Type="http://schemas.openxmlformats.org/officeDocument/2006/relationships/hyperlink" Target="https://drive.google.com/file/d/1-0S94hBYjwillPF5kFnRypYwM3z4RGTL/view?usp=sharing" TargetMode="External"/><Relationship Id="rId12" Type="http://schemas.openxmlformats.org/officeDocument/2006/relationships/hyperlink" Target="https://drive.google.com/file/d/16Wj8Vhmp0JTvn-T5WidpEe1JIvIp_8UI/view?usp=sharing" TargetMode="External"/><Relationship Id="rId17" Type="http://schemas.openxmlformats.org/officeDocument/2006/relationships/hyperlink" Target="https://drive.google.com/file/d/1RTLD0PY4xgdQ6s9tgqc3d_1-WwZqUAuU/view?usp=sharing" TargetMode="External"/><Relationship Id="rId25" Type="http://schemas.openxmlformats.org/officeDocument/2006/relationships/hyperlink" Target="https://drive.google.com/file/d/1LHt5_F9dV_yj0JBaCv9Iz47AQSXqGc4q/view?usp=sharing" TargetMode="External"/><Relationship Id="rId2" Type="http://schemas.openxmlformats.org/officeDocument/2006/relationships/hyperlink" Target="https://drive.google.com/file/d/1FstEvGFj7TrgidmeHE8PWXS972ZC361j/view?usp=sharing" TargetMode="External"/><Relationship Id="rId16" Type="http://schemas.openxmlformats.org/officeDocument/2006/relationships/hyperlink" Target="https://drive.google.com/file/d/1DRnGxvOLAaSWA4t9lUrsvA1fIcAdAkz9/view?usp=sharing" TargetMode="External"/><Relationship Id="rId20" Type="http://schemas.openxmlformats.org/officeDocument/2006/relationships/hyperlink" Target="https://drive.google.com/file/d/1HV4oBa2jmOlHfbgAUKlKI0Ge7jP2F7Vd/view?usp=sharing" TargetMode="External"/><Relationship Id="rId29" Type="http://schemas.openxmlformats.org/officeDocument/2006/relationships/hyperlink" Target="https://drive.google.com/file/d/1WqPEP-BS2KWHpbZu-KHDy_j_VV3qD3lJ/view?usp=sharing" TargetMode="External"/><Relationship Id="rId1" Type="http://schemas.openxmlformats.org/officeDocument/2006/relationships/hyperlink" Target="https://drive.google.com/file/d/1JAJzO6l6CiDPz_pcef0_DN_Fkgk84wdX/view?usp=sharing" TargetMode="External"/><Relationship Id="rId6" Type="http://schemas.openxmlformats.org/officeDocument/2006/relationships/hyperlink" Target="https://drive.google.com/file/d/1vZs2dbr5-wkxW5YNrt6uRQ6tu9_cQbzC/view?usp=sharing" TargetMode="External"/><Relationship Id="rId11" Type="http://schemas.openxmlformats.org/officeDocument/2006/relationships/hyperlink" Target="https://drive.google.com/file/d/16Wj8Vhmp0JTvn-T5WidpEe1JIvIp_8UI/view?usp=sharing" TargetMode="External"/><Relationship Id="rId24" Type="http://schemas.openxmlformats.org/officeDocument/2006/relationships/hyperlink" Target="https://drive.google.com/file/d/1n4at2Lpa7uc9jM3HXg3ddngjjf2fktab/view?usp=sharing" TargetMode="External"/><Relationship Id="rId32" Type="http://schemas.openxmlformats.org/officeDocument/2006/relationships/hyperlink" Target="https://drive.google.com/file/d/1o8ez0i3rdYKcgJW4ntrsa_3Q49YJDhzz/view?usp=sharing" TargetMode="External"/><Relationship Id="rId5" Type="http://schemas.openxmlformats.org/officeDocument/2006/relationships/hyperlink" Target="https://drive.google.com/file/d/13oOV2fhqUJu4OMapu5y5KGSPNQnRC-QV/view?usp=sharing" TargetMode="External"/><Relationship Id="rId15" Type="http://schemas.openxmlformats.org/officeDocument/2006/relationships/hyperlink" Target="https://drive.google.com/file/d/1ptSDjpXT5QhyYY9Tiwg7A7HF8bxFxj8E/view?usp=sharing" TargetMode="External"/><Relationship Id="rId23" Type="http://schemas.openxmlformats.org/officeDocument/2006/relationships/hyperlink" Target="https://drive.google.com/file/d/13jHVCmf9N7uAr4GqXogkx3ivyh6h1RGQ/view?usp=sharing" TargetMode="External"/><Relationship Id="rId28" Type="http://schemas.openxmlformats.org/officeDocument/2006/relationships/hyperlink" Target="https://drive.google.com/drive/folders/1Z2X7n3UknW9NPqCITcaXiaZjmckGBd7S?usp=sharing" TargetMode="External"/><Relationship Id="rId10" Type="http://schemas.openxmlformats.org/officeDocument/2006/relationships/hyperlink" Target="https://drive.google.com/file/d/194kjjtbwHmwOO_s-pjAnVoZgPA3coyWW/view?usp=sharing" TargetMode="External"/><Relationship Id="rId19" Type="http://schemas.openxmlformats.org/officeDocument/2006/relationships/hyperlink" Target="https://drive.google.com/file/d/1Za0wf6d2VhfyZw2KNtlqRctwxEERC_hm/view?usp=sharing" TargetMode="External"/><Relationship Id="rId31" Type="http://schemas.openxmlformats.org/officeDocument/2006/relationships/hyperlink" Target="https://drive.google.com/file/d/1ZgACQdLKwOp_GeUvvy3byRkjjokfOuud/view?usp=sharing" TargetMode="External"/><Relationship Id="rId4" Type="http://schemas.openxmlformats.org/officeDocument/2006/relationships/hyperlink" Target="https://drive.google.com/file/d/1MAfJsdrJHuARXWDFGB1mDeTEL8yw43Ow/view?usp=sharing" TargetMode="External"/><Relationship Id="rId9" Type="http://schemas.openxmlformats.org/officeDocument/2006/relationships/hyperlink" Target="https://drive.google.com/file/d/1BXhgqv-o1RvEmKYiQmC4EEJsCQr56pYZ/view?usp=sharing" TargetMode="External"/><Relationship Id="rId14" Type="http://schemas.openxmlformats.org/officeDocument/2006/relationships/hyperlink" Target="https://drive.google.com/file/d/1aiIV_1fhMfoQgVq6GIe9wtRp2KREZTtd/view?usp=sharing" TargetMode="External"/><Relationship Id="rId22" Type="http://schemas.openxmlformats.org/officeDocument/2006/relationships/hyperlink" Target="https://drive.google.com/file/d/18KXSz5FXt76FTRhNql-74fBKcNAIyssn/view?usp=sharing" TargetMode="External"/><Relationship Id="rId27" Type="http://schemas.openxmlformats.org/officeDocument/2006/relationships/hyperlink" Target="https://drive.google.com/file/d/1UQ0V7G8sZiqFZ5tvzK99jb7CS53-u_Dj/view?usp=sharing" TargetMode="External"/><Relationship Id="rId30" Type="http://schemas.openxmlformats.org/officeDocument/2006/relationships/hyperlink" Target="https://drive.google.com/file/d/1QZ34FA2mv-XrH9Ir7tXdqkpJgzOfe87M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Normal="100" workbookViewId="0">
      <pane ySplit="1" topLeftCell="A20" activePane="bottomLeft" state="frozen"/>
      <selection pane="bottomLeft" activeCell="I33" sqref="I33"/>
    </sheetView>
  </sheetViews>
  <sheetFormatPr defaultColWidth="8.7109375" defaultRowHeight="15"/>
  <cols>
    <col min="1" max="1" width="10.140625" customWidth="1"/>
    <col min="2" max="2" width="40" customWidth="1"/>
    <col min="3" max="3" width="21" customWidth="1"/>
    <col min="4" max="4" width="10" customWidth="1"/>
    <col min="5" max="5" width="12" customWidth="1"/>
    <col min="6" max="7" width="14" customWidth="1"/>
    <col min="8" max="8" width="16" customWidth="1"/>
    <col min="9" max="9" width="34" customWidth="1"/>
    <col min="10" max="10" width="40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75" customHeight="1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9">
        <v>46233</v>
      </c>
      <c r="H2" s="2" t="s">
        <v>16</v>
      </c>
      <c r="I2" s="10" t="s">
        <v>8</v>
      </c>
      <c r="J2" s="3" t="s">
        <v>17</v>
      </c>
    </row>
    <row r="3" spans="1:10" ht="27.75" customHeight="1">
      <c r="A3" s="4" t="s">
        <v>18</v>
      </c>
      <c r="B3" s="5" t="s">
        <v>19</v>
      </c>
      <c r="C3" s="4" t="s">
        <v>12</v>
      </c>
      <c r="D3" s="2" t="s">
        <v>13</v>
      </c>
      <c r="E3" s="4" t="s">
        <v>14</v>
      </c>
      <c r="F3" s="2" t="s">
        <v>15</v>
      </c>
      <c r="G3" s="9">
        <v>46233</v>
      </c>
      <c r="H3" s="2" t="s">
        <v>16</v>
      </c>
      <c r="I3" s="10" t="s">
        <v>8</v>
      </c>
      <c r="J3" s="3" t="s">
        <v>17</v>
      </c>
    </row>
    <row r="4" spans="1:10" ht="27.75" customHeight="1">
      <c r="A4" s="2" t="s">
        <v>20</v>
      </c>
      <c r="B4" s="3" t="s">
        <v>21</v>
      </c>
      <c r="C4" s="2" t="s">
        <v>12</v>
      </c>
      <c r="D4" s="2" t="s">
        <v>13</v>
      </c>
      <c r="E4" s="2" t="s">
        <v>14</v>
      </c>
      <c r="F4" s="2" t="s">
        <v>15</v>
      </c>
      <c r="G4" s="9">
        <v>46233</v>
      </c>
      <c r="H4" s="2" t="s">
        <v>16</v>
      </c>
      <c r="I4" s="10" t="s">
        <v>8</v>
      </c>
      <c r="J4" s="3" t="s">
        <v>17</v>
      </c>
    </row>
    <row r="5" spans="1:10" ht="27.75" customHeight="1">
      <c r="A5" s="4" t="s">
        <v>22</v>
      </c>
      <c r="B5" s="5" t="s">
        <v>23</v>
      </c>
      <c r="C5" s="4" t="s">
        <v>12</v>
      </c>
      <c r="D5" s="2" t="s">
        <v>24</v>
      </c>
      <c r="E5" s="4" t="s">
        <v>14</v>
      </c>
      <c r="F5" s="2" t="s">
        <v>15</v>
      </c>
      <c r="G5" s="9">
        <v>46233</v>
      </c>
      <c r="H5" s="2" t="s">
        <v>16</v>
      </c>
      <c r="I5" s="10" t="s">
        <v>8</v>
      </c>
      <c r="J5" s="3" t="s">
        <v>17</v>
      </c>
    </row>
    <row r="6" spans="1:10" ht="27.75" customHeight="1">
      <c r="A6" s="2" t="s">
        <v>25</v>
      </c>
      <c r="B6" s="3" t="s">
        <v>26</v>
      </c>
      <c r="C6" s="2" t="s">
        <v>27</v>
      </c>
      <c r="D6" s="2" t="s">
        <v>13</v>
      </c>
      <c r="E6" s="2" t="s">
        <v>14</v>
      </c>
      <c r="F6" s="2" t="s">
        <v>15</v>
      </c>
      <c r="G6" s="9">
        <v>46233</v>
      </c>
      <c r="H6" s="2" t="s">
        <v>16</v>
      </c>
      <c r="I6" s="10" t="s">
        <v>8</v>
      </c>
      <c r="J6" s="3" t="s">
        <v>17</v>
      </c>
    </row>
    <row r="7" spans="1:10" ht="27.75" customHeight="1">
      <c r="A7" s="4" t="s">
        <v>28</v>
      </c>
      <c r="B7" s="5" t="s">
        <v>29</v>
      </c>
      <c r="C7" s="4" t="s">
        <v>27</v>
      </c>
      <c r="D7" s="2" t="s">
        <v>13</v>
      </c>
      <c r="E7" s="4" t="s">
        <v>14</v>
      </c>
      <c r="F7" s="2" t="s">
        <v>15</v>
      </c>
      <c r="G7" s="9">
        <v>46233</v>
      </c>
      <c r="H7" s="2" t="s">
        <v>16</v>
      </c>
      <c r="I7" s="10" t="s">
        <v>8</v>
      </c>
      <c r="J7" s="3" t="s">
        <v>17</v>
      </c>
    </row>
    <row r="8" spans="1:10" ht="27.75" customHeight="1">
      <c r="A8" s="2" t="s">
        <v>30</v>
      </c>
      <c r="B8" s="3" t="s">
        <v>31</v>
      </c>
      <c r="C8" s="2" t="s">
        <v>27</v>
      </c>
      <c r="D8" s="2" t="s">
        <v>24</v>
      </c>
      <c r="E8" s="2" t="s">
        <v>14</v>
      </c>
      <c r="F8" s="2" t="s">
        <v>15</v>
      </c>
      <c r="G8" s="9">
        <v>46233</v>
      </c>
      <c r="H8" s="2" t="s">
        <v>16</v>
      </c>
      <c r="I8" s="10" t="s">
        <v>8</v>
      </c>
      <c r="J8" s="3" t="s">
        <v>17</v>
      </c>
    </row>
    <row r="9" spans="1:10" ht="27.75" customHeight="1">
      <c r="A9" s="4" t="s">
        <v>32</v>
      </c>
      <c r="B9" s="5" t="s">
        <v>33</v>
      </c>
      <c r="C9" s="4" t="s">
        <v>27</v>
      </c>
      <c r="D9" s="2" t="s">
        <v>24</v>
      </c>
      <c r="E9" s="4" t="s">
        <v>14</v>
      </c>
      <c r="F9" s="2" t="s">
        <v>15</v>
      </c>
      <c r="G9" s="9">
        <v>46233</v>
      </c>
      <c r="H9" s="2" t="s">
        <v>16</v>
      </c>
      <c r="I9" s="10" t="s">
        <v>8</v>
      </c>
      <c r="J9" s="3" t="s">
        <v>17</v>
      </c>
    </row>
    <row r="10" spans="1:10" ht="27.75" customHeight="1">
      <c r="A10" s="2" t="s">
        <v>34</v>
      </c>
      <c r="B10" s="3" t="s">
        <v>35</v>
      </c>
      <c r="C10" s="2" t="s">
        <v>36</v>
      </c>
      <c r="D10" s="2" t="s">
        <v>24</v>
      </c>
      <c r="E10" s="2" t="s">
        <v>14</v>
      </c>
      <c r="F10" s="2" t="s">
        <v>15</v>
      </c>
      <c r="G10" s="9">
        <v>46233</v>
      </c>
      <c r="H10" s="2" t="s">
        <v>16</v>
      </c>
      <c r="I10" s="10" t="s">
        <v>8</v>
      </c>
      <c r="J10" s="3" t="s">
        <v>17</v>
      </c>
    </row>
    <row r="11" spans="1:10" ht="27.75" customHeight="1">
      <c r="A11" s="4" t="s">
        <v>37</v>
      </c>
      <c r="B11" s="5" t="s">
        <v>38</v>
      </c>
      <c r="C11" s="4" t="s">
        <v>36</v>
      </c>
      <c r="D11" s="2" t="s">
        <v>24</v>
      </c>
      <c r="E11" s="4" t="s">
        <v>14</v>
      </c>
      <c r="F11" s="2" t="s">
        <v>15</v>
      </c>
      <c r="G11" s="9">
        <v>46233</v>
      </c>
      <c r="H11" s="2" t="s">
        <v>16</v>
      </c>
      <c r="I11" s="10" t="s">
        <v>8</v>
      </c>
      <c r="J11" s="3" t="s">
        <v>17</v>
      </c>
    </row>
    <row r="12" spans="1:10" ht="27.75" customHeight="1">
      <c r="A12" s="2" t="s">
        <v>39</v>
      </c>
      <c r="B12" s="3" t="s">
        <v>40</v>
      </c>
      <c r="C12" s="2" t="s">
        <v>36</v>
      </c>
      <c r="D12" s="2" t="s">
        <v>41</v>
      </c>
      <c r="E12" s="2" t="s">
        <v>14</v>
      </c>
      <c r="F12" s="2" t="s">
        <v>15</v>
      </c>
      <c r="G12" s="9">
        <v>46233</v>
      </c>
      <c r="H12" s="2" t="s">
        <v>16</v>
      </c>
      <c r="I12" s="10" t="s">
        <v>8</v>
      </c>
      <c r="J12" s="3" t="s">
        <v>17</v>
      </c>
    </row>
    <row r="13" spans="1:10" ht="27.75" customHeight="1">
      <c r="A13" s="4" t="s">
        <v>42</v>
      </c>
      <c r="B13" s="5" t="s">
        <v>43</v>
      </c>
      <c r="C13" s="4" t="s">
        <v>36</v>
      </c>
      <c r="D13" s="2" t="s">
        <v>41</v>
      </c>
      <c r="E13" s="4" t="s">
        <v>14</v>
      </c>
      <c r="F13" s="2" t="s">
        <v>15</v>
      </c>
      <c r="G13" s="9">
        <v>46233</v>
      </c>
      <c r="H13" s="2" t="s">
        <v>16</v>
      </c>
      <c r="I13" s="10" t="s">
        <v>8</v>
      </c>
      <c r="J13" s="3" t="s">
        <v>17</v>
      </c>
    </row>
    <row r="14" spans="1:10" ht="27.75" customHeight="1">
      <c r="A14" s="2" t="s">
        <v>44</v>
      </c>
      <c r="B14" s="3" t="s">
        <v>45</v>
      </c>
      <c r="C14" s="2" t="s">
        <v>46</v>
      </c>
      <c r="D14" s="2" t="s">
        <v>24</v>
      </c>
      <c r="E14" s="2" t="s">
        <v>14</v>
      </c>
      <c r="F14" s="2" t="s">
        <v>15</v>
      </c>
      <c r="G14" s="9">
        <v>46233</v>
      </c>
      <c r="H14" s="2" t="s">
        <v>16</v>
      </c>
      <c r="I14" s="10" t="s">
        <v>8</v>
      </c>
      <c r="J14" s="3" t="s">
        <v>17</v>
      </c>
    </row>
    <row r="15" spans="1:10" ht="27.75" customHeight="1">
      <c r="A15" s="4" t="s">
        <v>47</v>
      </c>
      <c r="B15" s="5" t="s">
        <v>48</v>
      </c>
      <c r="C15" s="4" t="s">
        <v>49</v>
      </c>
      <c r="D15" s="2" t="s">
        <v>24</v>
      </c>
      <c r="E15" s="4" t="s">
        <v>14</v>
      </c>
      <c r="F15" s="2" t="s">
        <v>15</v>
      </c>
      <c r="G15" s="9">
        <v>46233</v>
      </c>
      <c r="H15" s="2" t="s">
        <v>16</v>
      </c>
      <c r="I15" s="10" t="s">
        <v>8</v>
      </c>
      <c r="J15" s="3" t="s">
        <v>17</v>
      </c>
    </row>
    <row r="16" spans="1:10" ht="27.75" customHeight="1">
      <c r="A16" s="2" t="s">
        <v>50</v>
      </c>
      <c r="B16" s="3" t="s">
        <v>51</v>
      </c>
      <c r="C16" s="2" t="s">
        <v>49</v>
      </c>
      <c r="D16" s="2" t="s">
        <v>13</v>
      </c>
      <c r="E16" s="2" t="s">
        <v>14</v>
      </c>
      <c r="F16" s="2" t="s">
        <v>15</v>
      </c>
      <c r="G16" s="9">
        <v>46233</v>
      </c>
      <c r="H16" s="2" t="s">
        <v>16</v>
      </c>
      <c r="I16" s="10" t="s">
        <v>8</v>
      </c>
      <c r="J16" s="3" t="s">
        <v>17</v>
      </c>
    </row>
    <row r="17" spans="1:10" ht="27.75" customHeight="1">
      <c r="A17" s="4" t="s">
        <v>52</v>
      </c>
      <c r="B17" s="5" t="s">
        <v>53</v>
      </c>
      <c r="C17" s="4" t="s">
        <v>54</v>
      </c>
      <c r="D17" s="2" t="s">
        <v>13</v>
      </c>
      <c r="E17" s="4" t="s">
        <v>14</v>
      </c>
      <c r="F17" s="2" t="s">
        <v>15</v>
      </c>
      <c r="G17" s="9">
        <v>46233</v>
      </c>
      <c r="H17" s="2" t="s">
        <v>16</v>
      </c>
      <c r="I17" s="10" t="s">
        <v>8</v>
      </c>
      <c r="J17" s="3" t="s">
        <v>17</v>
      </c>
    </row>
    <row r="18" spans="1:10" ht="27.75" customHeight="1">
      <c r="A18" s="2" t="s">
        <v>55</v>
      </c>
      <c r="B18" s="3" t="s">
        <v>56</v>
      </c>
      <c r="C18" s="2" t="s">
        <v>54</v>
      </c>
      <c r="D18" s="2" t="s">
        <v>13</v>
      </c>
      <c r="E18" s="2" t="s">
        <v>14</v>
      </c>
      <c r="F18" s="2" t="s">
        <v>15</v>
      </c>
      <c r="G18" s="9">
        <v>46233</v>
      </c>
      <c r="H18" s="2" t="s">
        <v>16</v>
      </c>
      <c r="I18" s="10" t="s">
        <v>8</v>
      </c>
      <c r="J18" s="3" t="s">
        <v>17</v>
      </c>
    </row>
    <row r="19" spans="1:10" ht="27.75" customHeight="1">
      <c r="A19" s="4" t="s">
        <v>57</v>
      </c>
      <c r="B19" s="5" t="s">
        <v>58</v>
      </c>
      <c r="C19" s="4" t="s">
        <v>54</v>
      </c>
      <c r="D19" s="2" t="s">
        <v>13</v>
      </c>
      <c r="E19" s="4" t="s">
        <v>14</v>
      </c>
      <c r="F19" s="2" t="s">
        <v>15</v>
      </c>
      <c r="G19" s="9">
        <v>46233</v>
      </c>
      <c r="H19" s="2" t="s">
        <v>16</v>
      </c>
      <c r="I19" s="10" t="s">
        <v>8</v>
      </c>
      <c r="J19" s="3" t="s">
        <v>17</v>
      </c>
    </row>
    <row r="20" spans="1:10" ht="27.75" customHeight="1">
      <c r="A20" s="2" t="s">
        <v>59</v>
      </c>
      <c r="B20" s="3" t="s">
        <v>60</v>
      </c>
      <c r="C20" s="2" t="s">
        <v>61</v>
      </c>
      <c r="D20" s="2" t="s">
        <v>24</v>
      </c>
      <c r="E20" s="2" t="s">
        <v>14</v>
      </c>
      <c r="F20" s="2" t="s">
        <v>15</v>
      </c>
      <c r="G20" s="9">
        <v>46233</v>
      </c>
      <c r="H20" s="2" t="s">
        <v>16</v>
      </c>
      <c r="I20" s="10" t="s">
        <v>8</v>
      </c>
      <c r="J20" s="3" t="s">
        <v>17</v>
      </c>
    </row>
    <row r="21" spans="1:10" ht="27.75" customHeight="1">
      <c r="A21" s="4" t="s">
        <v>62</v>
      </c>
      <c r="B21" s="5" t="s">
        <v>63</v>
      </c>
      <c r="C21" s="4" t="s">
        <v>61</v>
      </c>
      <c r="D21" s="2" t="s">
        <v>41</v>
      </c>
      <c r="E21" s="4" t="s">
        <v>14</v>
      </c>
      <c r="F21" s="2" t="s">
        <v>15</v>
      </c>
      <c r="G21" s="9">
        <v>46233</v>
      </c>
      <c r="H21" s="2" t="s">
        <v>16</v>
      </c>
      <c r="I21" s="10" t="s">
        <v>8</v>
      </c>
      <c r="J21" s="3" t="s">
        <v>17</v>
      </c>
    </row>
    <row r="22" spans="1:10" ht="27.75" customHeight="1">
      <c r="A22" s="2" t="s">
        <v>64</v>
      </c>
      <c r="B22" s="3" t="s">
        <v>65</v>
      </c>
      <c r="C22" s="2" t="s">
        <v>66</v>
      </c>
      <c r="D22" s="2" t="s">
        <v>24</v>
      </c>
      <c r="E22" s="2" t="s">
        <v>14</v>
      </c>
      <c r="F22" s="2" t="s">
        <v>15</v>
      </c>
      <c r="G22" s="9">
        <v>46233</v>
      </c>
      <c r="H22" s="2" t="s">
        <v>16</v>
      </c>
      <c r="I22" s="10" t="s">
        <v>8</v>
      </c>
      <c r="J22" s="3" t="s">
        <v>17</v>
      </c>
    </row>
    <row r="23" spans="1:10" ht="27.75" customHeight="1">
      <c r="A23" s="4" t="s">
        <v>67</v>
      </c>
      <c r="B23" s="5" t="s">
        <v>68</v>
      </c>
      <c r="C23" s="4" t="s">
        <v>69</v>
      </c>
      <c r="D23" s="2" t="s">
        <v>13</v>
      </c>
      <c r="E23" s="4" t="s">
        <v>14</v>
      </c>
      <c r="F23" s="2" t="s">
        <v>15</v>
      </c>
      <c r="G23" s="9">
        <v>46233</v>
      </c>
      <c r="H23" s="2" t="s">
        <v>16</v>
      </c>
      <c r="I23" s="10" t="s">
        <v>8</v>
      </c>
      <c r="J23" s="3" t="s">
        <v>17</v>
      </c>
    </row>
    <row r="24" spans="1:10" ht="27.75" customHeight="1">
      <c r="A24" s="2" t="s">
        <v>70</v>
      </c>
      <c r="B24" s="3" t="s">
        <v>71</v>
      </c>
      <c r="C24" s="2" t="s">
        <v>72</v>
      </c>
      <c r="D24" s="2" t="s">
        <v>13</v>
      </c>
      <c r="E24" s="2" t="s">
        <v>14</v>
      </c>
      <c r="F24" s="2" t="s">
        <v>15</v>
      </c>
      <c r="G24" s="9">
        <v>46233</v>
      </c>
      <c r="H24" s="2" t="s">
        <v>16</v>
      </c>
      <c r="I24" s="10" t="s">
        <v>8</v>
      </c>
      <c r="J24" s="3" t="s">
        <v>17</v>
      </c>
    </row>
    <row r="25" spans="1:10" ht="27.75" customHeight="1">
      <c r="A25" s="4" t="s">
        <v>73</v>
      </c>
      <c r="B25" s="5" t="s">
        <v>74</v>
      </c>
      <c r="C25" s="4" t="s">
        <v>72</v>
      </c>
      <c r="D25" s="2" t="s">
        <v>13</v>
      </c>
      <c r="E25" s="4" t="s">
        <v>14</v>
      </c>
      <c r="F25" s="2" t="s">
        <v>15</v>
      </c>
      <c r="G25" s="9">
        <v>46233</v>
      </c>
      <c r="H25" s="2" t="s">
        <v>16</v>
      </c>
      <c r="I25" s="10" t="s">
        <v>8</v>
      </c>
      <c r="J25" s="3" t="s">
        <v>17</v>
      </c>
    </row>
    <row r="26" spans="1:10" ht="27.75" customHeight="1">
      <c r="A26" s="2" t="s">
        <v>75</v>
      </c>
      <c r="B26" s="3" t="s">
        <v>76</v>
      </c>
      <c r="C26" s="2" t="s">
        <v>72</v>
      </c>
      <c r="D26" s="2" t="s">
        <v>13</v>
      </c>
      <c r="E26" s="2" t="s">
        <v>14</v>
      </c>
      <c r="F26" s="2" t="s">
        <v>15</v>
      </c>
      <c r="G26" s="9">
        <v>46233</v>
      </c>
      <c r="H26" s="2" t="s">
        <v>16</v>
      </c>
      <c r="I26" s="10" t="s">
        <v>8</v>
      </c>
      <c r="J26" s="3" t="s">
        <v>17</v>
      </c>
    </row>
    <row r="27" spans="1:10" ht="27.75" customHeight="1">
      <c r="A27" s="4" t="s">
        <v>77</v>
      </c>
      <c r="B27" s="5" t="s">
        <v>78</v>
      </c>
      <c r="C27" s="4" t="s">
        <v>79</v>
      </c>
      <c r="D27" s="2" t="s">
        <v>24</v>
      </c>
      <c r="E27" s="4" t="s">
        <v>14</v>
      </c>
      <c r="F27" s="2" t="s">
        <v>15</v>
      </c>
      <c r="G27" s="9">
        <v>46233</v>
      </c>
      <c r="H27" s="2" t="s">
        <v>16</v>
      </c>
      <c r="I27" s="10" t="s">
        <v>8</v>
      </c>
      <c r="J27" s="3" t="s">
        <v>17</v>
      </c>
    </row>
    <row r="28" spans="1:10" ht="27.75" customHeight="1">
      <c r="A28" s="2" t="s">
        <v>80</v>
      </c>
      <c r="B28" s="3" t="s">
        <v>81</v>
      </c>
      <c r="C28" s="2" t="s">
        <v>82</v>
      </c>
      <c r="D28" s="2" t="s">
        <v>13</v>
      </c>
      <c r="E28" s="2" t="s">
        <v>14</v>
      </c>
      <c r="F28" s="2" t="s">
        <v>15</v>
      </c>
      <c r="G28" s="9">
        <v>46233</v>
      </c>
      <c r="H28" s="2" t="s">
        <v>16</v>
      </c>
      <c r="I28" s="10" t="s">
        <v>8</v>
      </c>
      <c r="J28" s="3" t="s">
        <v>17</v>
      </c>
    </row>
    <row r="29" spans="1:10" ht="27.75" customHeight="1">
      <c r="A29" s="4" t="s">
        <v>83</v>
      </c>
      <c r="B29" s="5" t="s">
        <v>84</v>
      </c>
      <c r="C29" s="4" t="s">
        <v>85</v>
      </c>
      <c r="D29" s="2" t="s">
        <v>13</v>
      </c>
      <c r="E29" s="4" t="s">
        <v>14</v>
      </c>
      <c r="F29" s="2" t="s">
        <v>15</v>
      </c>
      <c r="G29" s="9">
        <v>46233</v>
      </c>
      <c r="H29" s="2" t="s">
        <v>16</v>
      </c>
      <c r="I29" s="10" t="s">
        <v>8</v>
      </c>
      <c r="J29" s="3" t="s">
        <v>17</v>
      </c>
    </row>
    <row r="30" spans="1:10" ht="27.75" customHeight="1">
      <c r="A30" s="2" t="s">
        <v>86</v>
      </c>
      <c r="B30" s="3" t="s">
        <v>87</v>
      </c>
      <c r="C30" s="2" t="s">
        <v>88</v>
      </c>
      <c r="D30" s="2" t="s">
        <v>13</v>
      </c>
      <c r="E30" s="2" t="s">
        <v>14</v>
      </c>
      <c r="F30" s="2" t="s">
        <v>15</v>
      </c>
      <c r="G30" s="9">
        <v>46233</v>
      </c>
      <c r="H30" s="2" t="s">
        <v>16</v>
      </c>
      <c r="I30" s="10" t="s">
        <v>8</v>
      </c>
      <c r="J30" s="3" t="s">
        <v>17</v>
      </c>
    </row>
    <row r="31" spans="1:10" ht="27.75" customHeight="1">
      <c r="A31" s="4" t="s">
        <v>89</v>
      </c>
      <c r="B31" s="5" t="s">
        <v>90</v>
      </c>
      <c r="C31" s="4" t="s">
        <v>88</v>
      </c>
      <c r="D31" s="2" t="s">
        <v>13</v>
      </c>
      <c r="E31" s="4" t="s">
        <v>14</v>
      </c>
      <c r="F31" s="2" t="s">
        <v>15</v>
      </c>
      <c r="G31" s="9">
        <v>46233</v>
      </c>
      <c r="H31" s="2" t="s">
        <v>16</v>
      </c>
      <c r="I31" s="10" t="s">
        <v>8</v>
      </c>
      <c r="J31" s="3" t="s">
        <v>17</v>
      </c>
    </row>
    <row r="32" spans="1:10" ht="27.75" customHeight="1">
      <c r="A32" s="2" t="s">
        <v>91</v>
      </c>
      <c r="B32" s="3" t="s">
        <v>92</v>
      </c>
      <c r="C32" s="2" t="s">
        <v>36</v>
      </c>
      <c r="D32" s="2" t="s">
        <v>13</v>
      </c>
      <c r="E32" s="2" t="s">
        <v>14</v>
      </c>
      <c r="F32" s="2" t="s">
        <v>93</v>
      </c>
      <c r="G32" s="9">
        <v>46233</v>
      </c>
      <c r="H32" s="2" t="s">
        <v>16</v>
      </c>
      <c r="I32" s="10" t="s">
        <v>8</v>
      </c>
      <c r="J32" s="3" t="s">
        <v>94</v>
      </c>
    </row>
    <row r="33" spans="1:10" ht="27.75" customHeight="1">
      <c r="A33" s="4" t="s">
        <v>95</v>
      </c>
      <c r="B33" s="5" t="s">
        <v>79</v>
      </c>
      <c r="C33" s="4" t="s">
        <v>79</v>
      </c>
      <c r="D33" s="2" t="s">
        <v>24</v>
      </c>
      <c r="E33" s="4" t="s">
        <v>14</v>
      </c>
      <c r="F33" s="2" t="s">
        <v>15</v>
      </c>
      <c r="G33" s="9">
        <v>46233</v>
      </c>
      <c r="H33" s="2" t="s">
        <v>16</v>
      </c>
      <c r="I33" s="10" t="s">
        <v>8</v>
      </c>
      <c r="J33" s="3" t="s">
        <v>17</v>
      </c>
    </row>
    <row r="35" spans="1:10">
      <c r="A35" s="6" t="s">
        <v>96</v>
      </c>
    </row>
    <row r="36" spans="1:10">
      <c r="A36" s="6" t="s">
        <v>97</v>
      </c>
      <c r="B36" s="7">
        <f>COUNTA(A2:A33)</f>
        <v>32</v>
      </c>
    </row>
    <row r="37" spans="1:10">
      <c r="A37" s="6" t="s">
        <v>15</v>
      </c>
      <c r="B37" s="7">
        <f>COUNTIF(F2:F33,"Passou")</f>
        <v>31</v>
      </c>
    </row>
    <row r="38" spans="1:10">
      <c r="A38" s="6" t="s">
        <v>93</v>
      </c>
      <c r="B38" s="7">
        <f>COUNTIF(F2:F33,"Falhou")</f>
        <v>1</v>
      </c>
    </row>
    <row r="39" spans="1:10">
      <c r="A39" s="6" t="s">
        <v>98</v>
      </c>
      <c r="B39" s="7">
        <f>COUNTIF(F2:F33,"Bloqueado")</f>
        <v>0</v>
      </c>
    </row>
    <row r="40" spans="1:10">
      <c r="A40" s="6" t="s">
        <v>99</v>
      </c>
      <c r="B40" s="7">
        <f>COUNTIF(F2:F33,"Não executado")</f>
        <v>0</v>
      </c>
    </row>
    <row r="41" spans="1:10">
      <c r="A41" s="6" t="s">
        <v>100</v>
      </c>
      <c r="B41" s="8">
        <f>(COUNTA(F2:F33)-COUNTIF(F2:F33,"Não executado"))/COUNTA(A2:A33)</f>
        <v>1</v>
      </c>
    </row>
  </sheetData>
  <conditionalFormatting sqref="F2:F33">
    <cfRule type="cellIs" dxfId="3" priority="2" operator="equal">
      <formula>"Passou"</formula>
    </cfRule>
    <cfRule type="cellIs" dxfId="2" priority="3" operator="equal">
      <formula>"Falhou"</formula>
    </cfRule>
    <cfRule type="cellIs" dxfId="1" priority="4" operator="equal">
      <formula>"Bloqueado"</formula>
    </cfRule>
    <cfRule type="cellIs" dxfId="0" priority="5" operator="equal">
      <formula>"Não executado"</formula>
    </cfRule>
  </conditionalFormatting>
  <dataValidations count="2">
    <dataValidation type="list" allowBlank="1" sqref="F2:F33" xr:uid="{00000000-0002-0000-0000-000000000000}">
      <formula1>"Não executado,Passou,Falhou,Bloqueado"</formula1>
      <formula2>0</formula2>
    </dataValidation>
    <dataValidation type="list" allowBlank="1" sqref="E2:E33" xr:uid="{00000000-0002-0000-0000-000001000000}">
      <formula1>"Ciclo 1,Ciclo 2,Ciclo 3"</formula1>
      <formula2>0</formula2>
    </dataValidation>
  </dataValidations>
  <hyperlinks>
    <hyperlink ref="I2" r:id="rId1" xr:uid="{7759253A-A5EE-4CA9-A6AF-4F9A415EA179}"/>
    <hyperlink ref="I3" r:id="rId2" xr:uid="{C5E5899F-8EA7-4373-B28A-B8956B943A84}"/>
    <hyperlink ref="I4" r:id="rId3" xr:uid="{8FA2FEE3-9E03-4AB8-951A-2DCA434650DA}"/>
    <hyperlink ref="I5" r:id="rId4" xr:uid="{4E64B67C-0DD7-4022-81AC-22FAE0111062}"/>
    <hyperlink ref="I6" r:id="rId5" xr:uid="{B62D4321-0D4F-4E0B-80E8-E2959FE82254}"/>
    <hyperlink ref="I7" r:id="rId6" xr:uid="{1C02F2F9-D7BA-47F9-8F88-89C1C579A48A}"/>
    <hyperlink ref="I8" r:id="rId7" xr:uid="{36D84539-0112-46E6-9B9F-35A9D8C1BE31}"/>
    <hyperlink ref="I9" r:id="rId8" xr:uid="{9E6832EF-12BE-4DCB-9518-430F94E2A3C5}"/>
    <hyperlink ref="I10" r:id="rId9" xr:uid="{A3B3FE5B-2DEB-492D-91BB-8C8F4DAC789D}"/>
    <hyperlink ref="I11" r:id="rId10" xr:uid="{A77A6D7B-F3DB-4C05-B907-7AB82CEB9D4D}"/>
    <hyperlink ref="I12" r:id="rId11" xr:uid="{4A8CAB82-32F4-489F-862D-8B0C68E8C1B4}"/>
    <hyperlink ref="I13" r:id="rId12" xr:uid="{4D8B832F-0F79-403A-823E-69DEF3953475}"/>
    <hyperlink ref="I14" r:id="rId13" xr:uid="{23115B76-E5EC-4DDB-9A62-E9A1BDC9FD74}"/>
    <hyperlink ref="I15" r:id="rId14" xr:uid="{1ABD1A62-7979-4082-AD2D-F86483DC8DD6}"/>
    <hyperlink ref="I16" r:id="rId15" xr:uid="{F2BEB341-5AA0-4B2B-ADB1-D6A3E4AE5896}"/>
    <hyperlink ref="I17" r:id="rId16" xr:uid="{86FB5225-C1F6-4A63-9C89-238BD73EACEF}"/>
    <hyperlink ref="I18" r:id="rId17" xr:uid="{92DB254F-271D-4A59-85DE-F1BA2E07812B}"/>
    <hyperlink ref="I19" r:id="rId18" xr:uid="{16142678-8EDB-46E6-8B77-341D411015E9}"/>
    <hyperlink ref="I20" r:id="rId19" xr:uid="{C449A886-0055-4721-8915-ECD1B2650B97}"/>
    <hyperlink ref="I21" r:id="rId20" xr:uid="{E22ECCE9-9CB0-4DFD-A1BB-7D464709C4EE}"/>
    <hyperlink ref="I22" r:id="rId21" xr:uid="{DC03EB5C-FEA3-4503-B08C-E1EBEEDB5EAF}"/>
    <hyperlink ref="I23" r:id="rId22" xr:uid="{413611DD-7AF7-4EC2-A49B-0DDB5D70342B}"/>
    <hyperlink ref="I24" r:id="rId23" xr:uid="{18EF77FF-369C-4B40-8912-72650B43D267}"/>
    <hyperlink ref="I25" r:id="rId24" xr:uid="{B7A37519-0C9F-4958-ACAC-2C98C50C6B48}"/>
    <hyperlink ref="I26" r:id="rId25" xr:uid="{E957E192-C703-4CD5-BFBF-332331BE9B63}"/>
    <hyperlink ref="I27" r:id="rId26" xr:uid="{7562FB1E-8DD7-4462-BBD5-E84B7F3AE432}"/>
    <hyperlink ref="I28" r:id="rId27" xr:uid="{B86B79D7-E979-4F62-8132-8E93BC21B174}"/>
    <hyperlink ref="I29" r:id="rId28" xr:uid="{D2205181-CA3C-480E-946F-6CA4ABEBCCA7}"/>
    <hyperlink ref="I30" r:id="rId29" xr:uid="{9D50334A-EC17-450D-9667-A9F839E27312}"/>
    <hyperlink ref="I31" r:id="rId30" xr:uid="{70A5A8FA-D388-4A16-B2E1-A653741A888D}"/>
    <hyperlink ref="I32" r:id="rId31" xr:uid="{F7B2D36C-0D19-4001-B1EB-623110E74A60}"/>
    <hyperlink ref="I33" r:id="rId32" xr:uid="{14F69BB1-DA84-451B-A090-8C3C232887BD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2026-07-30T22:13:22Z</dcterms:created>
  <dcterms:modified xsi:type="dcterms:W3CDTF">2026-07-31T18:35:48Z</dcterms:modified>
  <cp:category/>
  <cp:contentStatus/>
</cp:coreProperties>
</file>